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ício" sheetId="1" r:id="rId1"/>
    <sheet name="Cadastro" sheetId="2" r:id="rId2"/>
    <sheet name="Lançamentos" sheetId="3" r:id="rId3"/>
  </sheets>
  <definedNames>
    <definedName name="ColunaProdutos">tbCadastro[PRODUTO]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4" i="2" l="1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D24" i="3" l="1"/>
  <c r="C24" i="3"/>
  <c r="B24" i="3"/>
  <c r="E24" i="3"/>
</calcChain>
</file>

<file path=xl/sharedStrings.xml><?xml version="1.0" encoding="utf-8"?>
<sst xmlns="http://schemas.openxmlformats.org/spreadsheetml/2006/main" count="73" uniqueCount="37">
  <si>
    <t>PRODUTO</t>
  </si>
  <si>
    <t>MEDIDA</t>
  </si>
  <si>
    <t>ESTOQUE
MÍNIMO</t>
  </si>
  <si>
    <t>ESTOQUE
MÁXIMO</t>
  </si>
  <si>
    <t>SALDO</t>
  </si>
  <si>
    <t>AVISOS</t>
  </si>
  <si>
    <t>Lápis preto nº2</t>
  </si>
  <si>
    <t>Borracha branca</t>
  </si>
  <si>
    <t>Caderno universitário 200 folhas</t>
  </si>
  <si>
    <t>Apontador com reservatório</t>
  </si>
  <si>
    <t>Régua 30 cm</t>
  </si>
  <si>
    <t>Marcador de texto amarelo</t>
  </si>
  <si>
    <t>Grampeador pequeno</t>
  </si>
  <si>
    <t>Caixa de grampos nº10</t>
  </si>
  <si>
    <t>Tesoura escolar</t>
  </si>
  <si>
    <t>Cola bastão 40g</t>
  </si>
  <si>
    <t>Caneta vermelha</t>
  </si>
  <si>
    <t>Caneta preta</t>
  </si>
  <si>
    <t>Pasta plástica com elástico</t>
  </si>
  <si>
    <t>Envelope pardo A4</t>
  </si>
  <si>
    <t>Bloco de notas adesivas</t>
  </si>
  <si>
    <t>Marca-texto rosa</t>
  </si>
  <si>
    <t>Papel sulfite A4 500 folhas</t>
  </si>
  <si>
    <t>Clips nº2</t>
  </si>
  <si>
    <t>Fita adesiva transparente 45mm x 50m</t>
  </si>
  <si>
    <t>Corretivo em fita</t>
  </si>
  <si>
    <t>unidade</t>
  </si>
  <si>
    <t>rolo</t>
  </si>
  <si>
    <t>caixa</t>
  </si>
  <si>
    <t>resma</t>
  </si>
  <si>
    <t>DATA</t>
  </si>
  <si>
    <t>ENTRADA</t>
  </si>
  <si>
    <t>SAÍDA</t>
  </si>
  <si>
    <t>Caneta esferográfica azul</t>
  </si>
  <si>
    <t>Clips nº2 (caixa)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</si>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</sst>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3" borderId="0" xfId="0" applyFill="1"/>
    <xf numFmtId="0" fontId="1" fillId="3" borderId="0" xfId="0" applyFont="1" applyFill="1" applyAlignment="1">
      <alignment vertical="top"/>
    </xf>
    <xf numFmtId="14" fontId="0" fillId="0" borderId="0" xfId="0" applyNumberFormat="1"/>
    <xf numFmtId="0" fontId="1" fillId="3" borderId="0" xfId="0" applyFont="1" applyFill="1"/>
    <xf numFmtId="14" fontId="0" fillId="2" borderId="0" xfId="0" applyNumberFormat="1" applyFill="1"/>
    <xf numFmtId="14" fontId="1" fillId="3" borderId="0" xfId="0" applyNumberFormat="1" applyFont="1" applyFill="1"/>
    <xf numFmtId="1" fontId="0" fillId="2" borderId="0" xfId="0" applyNumberFormat="1" applyFill="1"/>
    <xf numFmtId="1" fontId="2" fillId="3" borderId="0" xfId="0" applyNumberFormat="1" applyFont="1" applyFill="1"/>
    <xf numFmtId="1" fontId="3" fillId="3" borderId="0" xfId="0" applyNumberFormat="1" applyFont="1" applyFill="1"/>
    <xf numFmtId="1" fontId="1" fillId="3" borderId="0" xfId="0" applyNumberFormat="1" applyFont="1" applyFill="1"/>
    <xf numFmtId="1" fontId="0" fillId="0" borderId="0" xfId="0" applyNumberFormat="1"/>
    <xf numFmtId="1" fontId="0" fillId="3" borderId="0" xfId="0" applyNumberFormat="1" applyFill="1"/>
    <xf numFmtId="1" fontId="1" fillId="3" borderId="0" xfId="0" applyNumberFormat="1" applyFont="1" applyFill="1" applyAlignment="1">
      <alignment vertical="top" wrapText="1"/>
    </xf>
    <xf numFmtId="1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16"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1" formatCode="0"/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 tint="-0.249977111117893"/>
        </patternFill>
      </fill>
      <alignment horizontal="general" vertical="top" textRotation="0" wrapText="0" indent="0" justifyLastLine="0" shrinkToFit="0" readingOrder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7" tint="0.39994506668294322"/>
      </font>
      <fill>
        <patternFill>
          <bgColor theme="2" tint="-0.749961851863155"/>
        </patternFill>
      </fill>
    </dxf>
    <dxf>
      <font>
        <b/>
        <i val="0"/>
        <color rgb="FFC00000"/>
      </font>
    </dxf>
    <dxf>
      <numFmt numFmtId="1" formatCode="0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Cadastro!$E$3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Cadastro!$A$4:$A$23</c:f>
              <c:strCache>
                <c:ptCount val="20"/>
                <c:pt idx="0">
                  <c:v>Lápis preto nº2</c:v>
                </c:pt>
                <c:pt idx="1">
                  <c:v>Borracha branca</c:v>
                </c:pt>
                <c:pt idx="2">
                  <c:v>Caderno universitário 200 folhas</c:v>
                </c:pt>
                <c:pt idx="3">
                  <c:v>Apontador com reservatório</c:v>
                </c:pt>
                <c:pt idx="4">
                  <c:v>Régua 30 cm</c:v>
                </c:pt>
                <c:pt idx="5">
                  <c:v>Marcador de texto amarelo</c:v>
                </c:pt>
                <c:pt idx="6">
                  <c:v>Grampeador pequeno</c:v>
                </c:pt>
                <c:pt idx="7">
                  <c:v>Caixa de grampos nº10</c:v>
                </c:pt>
                <c:pt idx="8">
                  <c:v>Tesoura escolar</c:v>
                </c:pt>
                <c:pt idx="9">
                  <c:v>Cola bastão 40g</c:v>
                </c:pt>
                <c:pt idx="10">
                  <c:v>Caneta vermelha</c:v>
                </c:pt>
                <c:pt idx="11">
                  <c:v>Caneta preta</c:v>
                </c:pt>
                <c:pt idx="12">
                  <c:v>Pasta plástica com elástico</c:v>
                </c:pt>
                <c:pt idx="13">
                  <c:v>Envelope pardo A4</c:v>
                </c:pt>
                <c:pt idx="14">
                  <c:v>Bloco de notas adesivas</c:v>
                </c:pt>
                <c:pt idx="15">
                  <c:v>Marca-texto rosa</c:v>
                </c:pt>
                <c:pt idx="16">
                  <c:v>Papel sulfite A4 500 folhas</c:v>
                </c:pt>
                <c:pt idx="17">
                  <c:v>Clips nº2</c:v>
                </c:pt>
                <c:pt idx="18">
                  <c:v>Fita adesiva transparente 45mm x 50m</c:v>
                </c:pt>
                <c:pt idx="19">
                  <c:v>Corretivo em fita</c:v>
                </c:pt>
              </c:strCache>
            </c:strRef>
          </c:cat>
          <c:val>
            <c:numRef>
              <c:f>Cadastro!$E$4:$E$23</c:f>
              <c:numCache>
                <c:formatCode>0</c:formatCode>
                <c:ptCount val="20"/>
                <c:pt idx="0">
                  <c:v>25</c:v>
                </c:pt>
                <c:pt idx="1">
                  <c:v>8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16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18</c:v>
                </c:pt>
                <c:pt idx="13">
                  <c:v>47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0</c:v>
                </c:pt>
                <c:pt idx="18">
                  <c:v>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E-4D10-B7F0-AAFD83161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9479184"/>
        <c:axId val="1899481264"/>
      </c:barChart>
      <c:catAx>
        <c:axId val="189947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9481264"/>
        <c:crosses val="autoZero"/>
        <c:auto val="1"/>
        <c:lblAlgn val="ctr"/>
        <c:lblOffset val="100"/>
        <c:noMultiLvlLbl val="0"/>
      </c:catAx>
      <c:valAx>
        <c:axId val="18994812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947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G1"/><Relationship Id="rId1" Type="http://schemas.openxmlformats.org/officeDocument/2006/relationships/hyperlink" Target="#Cadastro!G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Lan&#231;amentos!G1"/><Relationship Id="rId1" Type="http://schemas.openxmlformats.org/officeDocument/2006/relationships/hyperlink" Target="#In&#237;cio!G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767697</xdr:colOff>
      <xdr:row>0</xdr:row>
      <xdr:rowOff>158542</xdr:rowOff>
    </xdr:from>
    <xdr:to>
      <xdr:col>0</xdr:col>
      <xdr:colOff>1967847</xdr:colOff>
      <xdr:row>1</xdr:row>
      <xdr:rowOff>23323</xdr:rowOff>
    </xdr:to>
    <xdr:sp macro="" textlink="">
      <xdr:nvSpPr>
        <xdr:cNvPr id="2" name="Retângulo com Canto Aparado do Mesmo Lado 1"/>
        <xdr:cNvSpPr/>
      </xdr:nvSpPr>
      <xdr:spPr>
        <a:xfrm>
          <a:off x="767697" y="158542"/>
          <a:ext cx="1200150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2210512</xdr:colOff>
      <xdr:row>0</xdr:row>
      <xdr:rowOff>158542</xdr:rowOff>
    </xdr:from>
    <xdr:to>
      <xdr:col>1</xdr:col>
      <xdr:colOff>695592</xdr:colOff>
      <xdr:row>1</xdr:row>
      <xdr:rowOff>23323</xdr:rowOff>
    </xdr:to>
    <xdr:sp macro="" textlink="">
      <xdr:nvSpPr>
        <xdr:cNvPr id="3" name="Retângulo com Canto Aparado do Mesmo Lado 2">
          <a:hlinkClick xmlns:r="http://schemas.openxmlformats.org/officeDocument/2006/relationships" r:id="rId1"/>
        </xdr:cNvPr>
        <xdr:cNvSpPr/>
      </xdr:nvSpPr>
      <xdr:spPr>
        <a:xfrm>
          <a:off x="2210512" y="158542"/>
          <a:ext cx="1199705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1</xdr:col>
      <xdr:colOff>938257</xdr:colOff>
      <xdr:row>0</xdr:row>
      <xdr:rowOff>158542</xdr:rowOff>
    </xdr:from>
    <xdr:to>
      <xdr:col>3</xdr:col>
      <xdr:colOff>42462</xdr:colOff>
      <xdr:row>1</xdr:row>
      <xdr:rowOff>23323</xdr:rowOff>
    </xdr:to>
    <xdr:sp macro="" textlink="">
      <xdr:nvSpPr>
        <xdr:cNvPr id="4" name="Retângulo com Canto Aparado do Mesmo Lado 3">
          <a:hlinkClick xmlns:r="http://schemas.openxmlformats.org/officeDocument/2006/relationships" r:id="rId2"/>
        </xdr:cNvPr>
        <xdr:cNvSpPr/>
      </xdr:nvSpPr>
      <xdr:spPr>
        <a:xfrm>
          <a:off x="3652882" y="158542"/>
          <a:ext cx="1199705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2</xdr:col>
      <xdr:colOff>109536</xdr:colOff>
      <xdr:row>7</xdr:row>
      <xdr:rowOff>0</xdr:rowOff>
    </xdr:from>
    <xdr:to>
      <xdr:col>5</xdr:col>
      <xdr:colOff>585786</xdr:colOff>
      <xdr:row>13</xdr:row>
      <xdr:rowOff>57150</xdr:rowOff>
    </xdr:to>
    <xdr:sp macro="" textlink="">
      <xdr:nvSpPr>
        <xdr:cNvPr id="5" name="CaixaDeTexto 4"/>
        <xdr:cNvSpPr txBox="1"/>
      </xdr:nvSpPr>
      <xdr:spPr>
        <a:xfrm>
          <a:off x="3871911" y="1647825"/>
          <a:ext cx="3619500" cy="1200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CONTROLE</a:t>
          </a:r>
          <a:r>
            <a:rPr lang="pt-BR" sz="2000" b="1" baseline="0"/>
            <a:t> DE ESTOQUES</a:t>
          </a:r>
        </a:p>
        <a:p>
          <a:pPr algn="ctr"/>
          <a:r>
            <a:rPr lang="pt-BR" sz="2000" b="1" baseline="0"/>
            <a:t>SIMPLIFICADO</a:t>
          </a:r>
          <a:endParaRPr lang="pt-BR" sz="2000" b="1"/>
        </a:p>
      </xdr:txBody>
    </xdr:sp>
    <xdr:clientData/>
  </xdr:twoCellAnchor>
  <xdr:twoCellAnchor>
    <xdr:from>
      <xdr:col>1</xdr:col>
      <xdr:colOff>419099</xdr:colOff>
      <xdr:row>18</xdr:row>
      <xdr:rowOff>47625</xdr:rowOff>
    </xdr:from>
    <xdr:to>
      <xdr:col>6</xdr:col>
      <xdr:colOff>276224</xdr:colOff>
      <xdr:row>27</xdr:row>
      <xdr:rowOff>123825</xdr:rowOff>
    </xdr:to>
    <xdr:sp macro="" textlink="">
      <xdr:nvSpPr>
        <xdr:cNvPr id="6" name="CaixaDeTexto 5"/>
        <xdr:cNvSpPr txBox="1"/>
      </xdr:nvSpPr>
      <xdr:spPr>
        <a:xfrm>
          <a:off x="3133724" y="3790950"/>
          <a:ext cx="5095875" cy="1790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/>
            <a:t>ORIENTAÇÕES</a:t>
          </a:r>
        </a:p>
        <a:p>
          <a:pPr algn="ctr"/>
          <a:endParaRPr lang="pt-BR" sz="1200"/>
        </a:p>
        <a:p>
          <a:pPr algn="ctr"/>
          <a:r>
            <a:rPr lang="pt-BR" sz="12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1. Cadastrar o produto na aba "Cadastro".</a:t>
          </a:r>
        </a:p>
        <a:p>
          <a:pPr algn="ctr"/>
          <a:r>
            <a:rPr lang="pt-BR" sz="12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2. Registrar as entradas e saídas na aba "Lançamentos".</a:t>
          </a:r>
        </a:p>
        <a:p>
          <a:pPr algn="ctr"/>
          <a:r>
            <a:rPr lang="pt-BR" sz="12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3. Relatórios e consultas usar os filtros nas abas "Cadastro" e "Lançamentos".</a:t>
          </a:r>
          <a:endParaRPr lang="pt-BR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767697</xdr:colOff>
      <xdr:row>0</xdr:row>
      <xdr:rowOff>158542</xdr:rowOff>
    </xdr:from>
    <xdr:to>
      <xdr:col>0</xdr:col>
      <xdr:colOff>1967847</xdr:colOff>
      <xdr:row>1</xdr:row>
      <xdr:rowOff>23323</xdr:rowOff>
    </xdr:to>
    <xdr:sp macro="" textlink="">
      <xdr:nvSpPr>
        <xdr:cNvPr id="2" name="Retângulo com Canto Aparado do Mesmo Lado 1">
          <a:hlinkClick xmlns:r="http://schemas.openxmlformats.org/officeDocument/2006/relationships" r:id="rId1"/>
        </xdr:cNvPr>
        <xdr:cNvSpPr/>
      </xdr:nvSpPr>
      <xdr:spPr>
        <a:xfrm>
          <a:off x="767697" y="158542"/>
          <a:ext cx="1200150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2210512</xdr:colOff>
      <xdr:row>0</xdr:row>
      <xdr:rowOff>158542</xdr:rowOff>
    </xdr:from>
    <xdr:to>
      <xdr:col>1</xdr:col>
      <xdr:colOff>695592</xdr:colOff>
      <xdr:row>1</xdr:row>
      <xdr:rowOff>23323</xdr:rowOff>
    </xdr:to>
    <xdr:sp macro="" textlink="">
      <xdr:nvSpPr>
        <xdr:cNvPr id="3" name="Retângulo com Canto Aparado do Mesmo Lado 2"/>
        <xdr:cNvSpPr/>
      </xdr:nvSpPr>
      <xdr:spPr>
        <a:xfrm>
          <a:off x="2210512" y="158542"/>
          <a:ext cx="1199705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1</xdr:col>
      <xdr:colOff>938257</xdr:colOff>
      <xdr:row>0</xdr:row>
      <xdr:rowOff>158542</xdr:rowOff>
    </xdr:from>
    <xdr:to>
      <xdr:col>3</xdr:col>
      <xdr:colOff>42462</xdr:colOff>
      <xdr:row>1</xdr:row>
      <xdr:rowOff>23323</xdr:rowOff>
    </xdr:to>
    <xdr:sp macro="" textlink="">
      <xdr:nvSpPr>
        <xdr:cNvPr id="4" name="Retângulo com Canto Aparado do Mesmo Lado 3">
          <a:hlinkClick xmlns:r="http://schemas.openxmlformats.org/officeDocument/2006/relationships" r:id="rId2"/>
        </xdr:cNvPr>
        <xdr:cNvSpPr/>
      </xdr:nvSpPr>
      <xdr:spPr>
        <a:xfrm>
          <a:off x="3652882" y="158542"/>
          <a:ext cx="1199705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6</xdr:col>
      <xdr:colOff>38100</xdr:colOff>
      <xdr:row>3</xdr:row>
      <xdr:rowOff>142875</xdr:rowOff>
    </xdr:from>
    <xdr:to>
      <xdr:col>6</xdr:col>
      <xdr:colOff>3790950</xdr:colOff>
      <xdr:row>23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</xdr:colOff>
      <xdr:row>2</xdr:row>
      <xdr:rowOff>9525</xdr:rowOff>
    </xdr:from>
    <xdr:to>
      <xdr:col>6</xdr:col>
      <xdr:colOff>3781425</xdr:colOff>
      <xdr:row>3</xdr:row>
      <xdr:rowOff>66675</xdr:rowOff>
    </xdr:to>
    <xdr:sp macro="" textlink="">
      <xdr:nvSpPr>
        <xdr:cNvPr id="7" name="CaixaDeTexto 6"/>
        <xdr:cNvSpPr txBox="1"/>
      </xdr:nvSpPr>
      <xdr:spPr>
        <a:xfrm>
          <a:off x="8467725" y="704850"/>
          <a:ext cx="373380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COMPOSIÇÃO</a:t>
          </a:r>
          <a:r>
            <a:rPr lang="pt-BR" sz="1400" b="1" baseline="0"/>
            <a:t> DO SALDO ATUAL DO ESTOQUE</a:t>
          </a:r>
          <a:endParaRPr lang="pt-BR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767697</xdr:colOff>
      <xdr:row>0</xdr:row>
      <xdr:rowOff>158542</xdr:rowOff>
    </xdr:from>
    <xdr:to>
      <xdr:col>0</xdr:col>
      <xdr:colOff>1967847</xdr:colOff>
      <xdr:row>1</xdr:row>
      <xdr:rowOff>23323</xdr:rowOff>
    </xdr:to>
    <xdr:sp macro="" textlink="">
      <xdr:nvSpPr>
        <xdr:cNvPr id="2" name="Retângulo com Canto Aparado do Mesmo Lado 1">
          <a:hlinkClick xmlns:r="http://schemas.openxmlformats.org/officeDocument/2006/relationships" r:id="rId1"/>
        </xdr:cNvPr>
        <xdr:cNvSpPr/>
      </xdr:nvSpPr>
      <xdr:spPr>
        <a:xfrm>
          <a:off x="767697" y="158542"/>
          <a:ext cx="1200150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2210512</xdr:colOff>
      <xdr:row>0</xdr:row>
      <xdr:rowOff>158542</xdr:rowOff>
    </xdr:from>
    <xdr:to>
      <xdr:col>1</xdr:col>
      <xdr:colOff>695592</xdr:colOff>
      <xdr:row>1</xdr:row>
      <xdr:rowOff>23323</xdr:rowOff>
    </xdr:to>
    <xdr:sp macro="" textlink="">
      <xdr:nvSpPr>
        <xdr:cNvPr id="3" name="Retângulo com Canto Aparado do Mesmo Lado 2">
          <a:hlinkClick xmlns:r="http://schemas.openxmlformats.org/officeDocument/2006/relationships" r:id="rId2"/>
        </xdr:cNvPr>
        <xdr:cNvSpPr/>
      </xdr:nvSpPr>
      <xdr:spPr>
        <a:xfrm>
          <a:off x="2210512" y="158542"/>
          <a:ext cx="1199705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1</xdr:col>
      <xdr:colOff>938257</xdr:colOff>
      <xdr:row>0</xdr:row>
      <xdr:rowOff>158542</xdr:rowOff>
    </xdr:from>
    <xdr:to>
      <xdr:col>3</xdr:col>
      <xdr:colOff>42462</xdr:colOff>
      <xdr:row>1</xdr:row>
      <xdr:rowOff>23323</xdr:rowOff>
    </xdr:to>
    <xdr:sp macro="" textlink="">
      <xdr:nvSpPr>
        <xdr:cNvPr id="4" name="Retângulo com Canto Aparado do Mesmo Lado 3"/>
        <xdr:cNvSpPr/>
      </xdr:nvSpPr>
      <xdr:spPr>
        <a:xfrm>
          <a:off x="3652882" y="158542"/>
          <a:ext cx="1199705" cy="369606"/>
        </a:xfrm>
        <a:prstGeom prst="snip2SameRect">
          <a:avLst>
            <a:gd name="adj1" fmla="val 46773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bCadastro" displayName="tbCadastro" ref="A3:F23" totalsRowShown="0" headerRowDxfId="4">
  <autoFilter ref="A3:F23"/>
  <tableColumns count="6">
    <tableColumn id="1" name="PRODUTO"/>
    <tableColumn id="2" name="MEDIDA"/>
    <tableColumn id="3" name="ESTOQUE_x000a_MÍNIMO" dataDxfId="3"/>
    <tableColumn id="4" name="ESTOQUE_x000a_MÁXIMO" dataDxfId="2"/>
    <tableColumn id="5" name="SALDO" dataDxfId="1">
      <calculatedColumnFormula>SUMIF(tbLancamentos[PRODUTO],tbCadastro[[#This Row],[PRODUTO]],tbLancamentos[ENTRADA])-SUMIF(tbLancamentos[PRODUTO],tbCadastro[[#This Row],[PRODUTO]],tbLancamentos[SAÍDA])</calculatedColumnFormula>
    </tableColumn>
    <tableColumn id="6" name="AVISOS" dataDxfId="0">
      <calculatedColumnFormula>IF(tbCadastro[[#This Row],[SALDO]]&lt;tbCadastro[[#This Row],[ESTOQUE
MÍNIMO]],"Solicitar nova compra!",IF(tbCadastro[[#This Row],[SALDO]]&gt;tbCadastro[[#This Row],[ESTOQUE
MÁXIMO]],"Priorizar venda!",""))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ancamentos" displayName="tbLancamentos" ref="A3:E24" totalsRowCount="1" headerRowDxfId="15">
  <autoFilter ref="A3:E23"/>
  <tableColumns count="5">
    <tableColumn id="1" name="PRODUTO" totalsRowLabel="Total"/>
    <tableColumn id="2" name="DATA" totalsRowFunction="count" dataDxfId="14"/>
    <tableColumn id="3" name="ENTRADA" totalsRowFunction="sum" dataDxfId="13" totalsRowDxfId="11"/>
    <tableColumn id="4" name="SAÍDA" totalsRowFunction="sum" dataDxfId="12" totalsRowDxfId="10"/>
    <tableColumn id="5" name="SALDO" totalsRowFunction="count" dataDxfId="8" totalsRowDxfId="9">
      <calculatedColumnFormula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showGridLines="0" tabSelected="1" topLeftCell="A13" zoomScaleNormal="100" workbookViewId="0">
      <selection activeCell="G1" sqref="G1:G1048576"/>
    </sheetView>
  </sheetViews>
  <sheetFormatPr defaultColWidth="0" defaultRowHeight="15" x14ac:dyDescent="0.25"/>
  <cols>
    <col min="1" max="1" width="40.7109375" customWidth="1"/>
    <col min="2" max="5" width="15.7109375" customWidth="1"/>
    <col min="6" max="6" width="22.7109375" customWidth="1"/>
    <col min="7" max="7" width="57.7109375" customWidth="1"/>
    <col min="8" max="16384" width="9.140625" hidden="1"/>
  </cols>
  <sheetData>
    <row r="1" s="1" customFormat="1" ht="39.950000000000003" customHeight="1" x14ac:dyDescent="0.25"/>
  </sheetData>
  <sheetProtection sheet="1" objects="1" scenarios="1" selectLockedCells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zoomScaleNormal="100" workbookViewId="0">
      <selection activeCell="G29" sqref="G29"/>
    </sheetView>
  </sheetViews>
  <sheetFormatPr defaultColWidth="0" defaultRowHeight="15" x14ac:dyDescent="0.25"/>
  <cols>
    <col min="1" max="1" width="40.7109375" customWidth="1"/>
    <col min="2" max="2" width="15.7109375" customWidth="1"/>
    <col min="3" max="5" width="15.7109375" style="13" customWidth="1"/>
    <col min="6" max="6" width="22.7109375" customWidth="1"/>
    <col min="7" max="7" width="57.7109375" customWidth="1"/>
    <col min="8" max="16384" width="9.140625" hidden="1"/>
  </cols>
  <sheetData>
    <row r="1" spans="1:7" s="1" customFormat="1" ht="39.950000000000003" customHeight="1" x14ac:dyDescent="0.25">
      <c r="C1" s="9"/>
      <c r="D1" s="9"/>
      <c r="E1" s="9"/>
    </row>
    <row r="3" spans="1:7" s="2" customFormat="1" ht="30" x14ac:dyDescent="0.25">
      <c r="A3" s="4" t="s">
        <v>0</v>
      </c>
      <c r="B3" s="4" t="s">
        <v>1</v>
      </c>
      <c r="C3" s="15" t="s">
        <v>2</v>
      </c>
      <c r="D3" s="15" t="s">
        <v>3</v>
      </c>
      <c r="E3" s="16" t="s">
        <v>4</v>
      </c>
      <c r="F3" s="4" t="s">
        <v>5</v>
      </c>
      <c r="G3" s="2" t="s">
        <v>36</v>
      </c>
    </row>
    <row r="4" spans="1:7" x14ac:dyDescent="0.25">
      <c r="A4" t="s">
        <v>6</v>
      </c>
      <c r="B4" t="s">
        <v>26</v>
      </c>
      <c r="C4" s="13">
        <v>30</v>
      </c>
      <c r="D4" s="13">
        <v>90</v>
      </c>
      <c r="E4" s="14">
        <f>SUMIF(tbLancamentos[PRODUTO],tbCadastro[[#This Row],[PRODUTO]],tbLancamentos[ENTRADA])-SUMIF(tbLancamentos[PRODUTO],tbCadastro[[#This Row],[PRODUTO]],tbLancamentos[SAÍDA])</f>
        <v>25</v>
      </c>
      <c r="F4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5" spans="1:7" x14ac:dyDescent="0.25">
      <c r="A5" t="s">
        <v>7</v>
      </c>
      <c r="B5" t="s">
        <v>26</v>
      </c>
      <c r="C5" s="13">
        <v>10</v>
      </c>
      <c r="D5" s="13">
        <v>50</v>
      </c>
      <c r="E5" s="14">
        <f>SUMIF(tbLancamentos[PRODUTO],tbCadastro[[#This Row],[PRODUTO]],tbLancamentos[ENTRADA])-SUMIF(tbLancamentos[PRODUTO],tbCadastro[[#This Row],[PRODUTO]],tbLancamentos[SAÍDA])</f>
        <v>8</v>
      </c>
      <c r="F5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6" spans="1:7" x14ac:dyDescent="0.25">
      <c r="A6" t="s">
        <v>8</v>
      </c>
      <c r="B6" t="s">
        <v>26</v>
      </c>
      <c r="C6" s="13">
        <v>5</v>
      </c>
      <c r="D6" s="13">
        <v>125</v>
      </c>
      <c r="E6" s="14">
        <f>SUMIF(tbLancamentos[PRODUTO],tbCadastro[[#This Row],[PRODUTO]],tbLancamentos[ENTRADA])-SUMIF(tbLancamentos[PRODUTO],tbCadastro[[#This Row],[PRODUTO]],tbLancamentos[SAÍDA])</f>
        <v>4</v>
      </c>
      <c r="F6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7" spans="1:7" x14ac:dyDescent="0.25">
      <c r="A7" t="s">
        <v>9</v>
      </c>
      <c r="B7" t="s">
        <v>26</v>
      </c>
      <c r="C7" s="13">
        <v>10</v>
      </c>
      <c r="D7" s="13">
        <v>80</v>
      </c>
      <c r="E7" s="14">
        <f>SUMIF(tbLancamentos[PRODUTO],tbCadastro[[#This Row],[PRODUTO]],tbLancamentos[ENTRADA])-SUMIF(tbLancamentos[PRODUTO],tbCadastro[[#This Row],[PRODUTO]],tbLancamentos[SAÍDA])</f>
        <v>8</v>
      </c>
      <c r="F7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8" spans="1:7" x14ac:dyDescent="0.25">
      <c r="A8" t="s">
        <v>10</v>
      </c>
      <c r="B8" t="s">
        <v>26</v>
      </c>
      <c r="C8" s="13">
        <v>10</v>
      </c>
      <c r="D8" s="13">
        <v>60</v>
      </c>
      <c r="E8" s="14">
        <f>SUMIF(tbLancamentos[PRODUTO],tbCadastro[[#This Row],[PRODUTO]],tbLancamentos[ENTRADA])-SUMIF(tbLancamentos[PRODUTO],tbCadastro[[#This Row],[PRODUTO]],tbLancamentos[SAÍDA])</f>
        <v>9</v>
      </c>
      <c r="F8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9" spans="1:7" x14ac:dyDescent="0.25">
      <c r="A9" t="s">
        <v>11</v>
      </c>
      <c r="B9" t="s">
        <v>26</v>
      </c>
      <c r="C9" s="13">
        <v>20</v>
      </c>
      <c r="D9" s="13">
        <v>180</v>
      </c>
      <c r="E9" s="14">
        <f>SUMIF(tbLancamentos[PRODUTO],tbCadastro[[#This Row],[PRODUTO]],tbLancamentos[ENTRADA])-SUMIF(tbLancamentos[PRODUTO],tbCadastro[[#This Row],[PRODUTO]],tbLancamentos[SAÍDA])</f>
        <v>16</v>
      </c>
      <c r="F9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0" spans="1:7" x14ac:dyDescent="0.25">
      <c r="A10" t="s">
        <v>12</v>
      </c>
      <c r="B10" t="s">
        <v>26</v>
      </c>
      <c r="C10" s="13">
        <v>5</v>
      </c>
      <c r="D10" s="13">
        <v>150</v>
      </c>
      <c r="E10" s="14">
        <f>SUMIF(tbLancamentos[PRODUTO],tbCadastro[[#This Row],[PRODUTO]],tbLancamentos[ENTRADA])-SUMIF(tbLancamentos[PRODUTO],tbCadastro[[#This Row],[PRODUTO]],tbLancamentos[SAÍDA])</f>
        <v>4</v>
      </c>
      <c r="F10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1" spans="1:7" x14ac:dyDescent="0.25">
      <c r="A11" t="s">
        <v>13</v>
      </c>
      <c r="B11" t="s">
        <v>26</v>
      </c>
      <c r="C11" s="13">
        <v>10</v>
      </c>
      <c r="D11" s="13">
        <v>70</v>
      </c>
      <c r="E11" s="14">
        <f>SUMIF(tbLancamentos[PRODUTO],tbCadastro[[#This Row],[PRODUTO]],tbLancamentos[ENTRADA])-SUMIF(tbLancamentos[PRODUTO],tbCadastro[[#This Row],[PRODUTO]],tbLancamentos[SAÍDA])</f>
        <v>7</v>
      </c>
      <c r="F11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2" spans="1:7" x14ac:dyDescent="0.25">
      <c r="A12" t="s">
        <v>14</v>
      </c>
      <c r="B12" t="s">
        <v>26</v>
      </c>
      <c r="C12" s="13">
        <v>8</v>
      </c>
      <c r="D12" s="13">
        <v>120</v>
      </c>
      <c r="E12" s="14">
        <f>SUMIF(tbLancamentos[PRODUTO],tbCadastro[[#This Row],[PRODUTO]],tbLancamentos[ENTRADA])-SUMIF(tbLancamentos[PRODUTO],tbCadastro[[#This Row],[PRODUTO]],tbLancamentos[SAÍDA])</f>
        <v>6</v>
      </c>
      <c r="F12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3" spans="1:7" x14ac:dyDescent="0.25">
      <c r="A13" t="s">
        <v>15</v>
      </c>
      <c r="B13" t="s">
        <v>26</v>
      </c>
      <c r="C13" s="13">
        <v>15</v>
      </c>
      <c r="D13" s="13">
        <v>135</v>
      </c>
      <c r="E13" s="14">
        <f>SUMIF(tbLancamentos[PRODUTO],tbCadastro[[#This Row],[PRODUTO]],tbLancamentos[ENTRADA])-SUMIF(tbLancamentos[PRODUTO],tbCadastro[[#This Row],[PRODUTO]],tbLancamentos[SAÍDA])</f>
        <v>12</v>
      </c>
      <c r="F13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4" spans="1:7" x14ac:dyDescent="0.25">
      <c r="A14" t="s">
        <v>16</v>
      </c>
      <c r="B14" t="s">
        <v>26</v>
      </c>
      <c r="C14" s="13">
        <v>15</v>
      </c>
      <c r="D14" s="13">
        <v>150</v>
      </c>
      <c r="E14" s="14">
        <f>SUMIF(tbLancamentos[PRODUTO],tbCadastro[[#This Row],[PRODUTO]],tbLancamentos[ENTRADA])-SUMIF(tbLancamentos[PRODUTO],tbCadastro[[#This Row],[PRODUTO]],tbLancamentos[SAÍDA])</f>
        <v>11</v>
      </c>
      <c r="F14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5" spans="1:7" x14ac:dyDescent="0.25">
      <c r="A15" t="s">
        <v>17</v>
      </c>
      <c r="B15" t="s">
        <v>26</v>
      </c>
      <c r="C15" s="13">
        <v>15</v>
      </c>
      <c r="D15" s="13">
        <v>150</v>
      </c>
      <c r="E15" s="14">
        <f>SUMIF(tbLancamentos[PRODUTO],tbCadastro[[#This Row],[PRODUTO]],tbLancamentos[ENTRADA])-SUMIF(tbLancamentos[PRODUTO],tbCadastro[[#This Row],[PRODUTO]],tbLancamentos[SAÍDA])</f>
        <v>10</v>
      </c>
      <c r="F15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6" spans="1:7" x14ac:dyDescent="0.25">
      <c r="A16" t="s">
        <v>18</v>
      </c>
      <c r="B16" t="s">
        <v>26</v>
      </c>
      <c r="C16" s="13">
        <v>20</v>
      </c>
      <c r="D16" s="13">
        <v>200</v>
      </c>
      <c r="E16" s="14">
        <f>SUMIF(tbLancamentos[PRODUTO],tbCadastro[[#This Row],[PRODUTO]],tbLancamentos[ENTRADA])-SUMIF(tbLancamentos[PRODUTO],tbCadastro[[#This Row],[PRODUTO]],tbLancamentos[SAÍDA])</f>
        <v>18</v>
      </c>
      <c r="F16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7" spans="1:6" x14ac:dyDescent="0.25">
      <c r="A17" t="s">
        <v>19</v>
      </c>
      <c r="B17" t="s">
        <v>26</v>
      </c>
      <c r="C17" s="13">
        <v>50</v>
      </c>
      <c r="D17" s="13">
        <v>125</v>
      </c>
      <c r="E17" s="14">
        <f>SUMIF(tbLancamentos[PRODUTO],tbCadastro[[#This Row],[PRODUTO]],tbLancamentos[ENTRADA])-SUMIF(tbLancamentos[PRODUTO],tbCadastro[[#This Row],[PRODUTO]],tbLancamentos[SAÍDA])</f>
        <v>47</v>
      </c>
      <c r="F17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8" spans="1:6" x14ac:dyDescent="0.25">
      <c r="A18" t="s">
        <v>20</v>
      </c>
      <c r="B18" t="s">
        <v>26</v>
      </c>
      <c r="C18" s="13">
        <v>10</v>
      </c>
      <c r="D18" s="13">
        <v>100</v>
      </c>
      <c r="E18" s="14">
        <f>SUMIF(tbLancamentos[PRODUTO],tbCadastro[[#This Row],[PRODUTO]],tbLancamentos[ENTRADA])-SUMIF(tbLancamentos[PRODUTO],tbCadastro[[#This Row],[PRODUTO]],tbLancamentos[SAÍDA])</f>
        <v>6</v>
      </c>
      <c r="F18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19" spans="1:6" x14ac:dyDescent="0.25">
      <c r="A19" t="s">
        <v>21</v>
      </c>
      <c r="B19" t="s">
        <v>26</v>
      </c>
      <c r="C19" s="13">
        <v>10</v>
      </c>
      <c r="D19" s="13">
        <v>90</v>
      </c>
      <c r="E19" s="14">
        <f>SUMIF(tbLancamentos[PRODUTO],tbCadastro[[#This Row],[PRODUTO]],tbLancamentos[ENTRADA])-SUMIF(tbLancamentos[PRODUTO],tbCadastro[[#This Row],[PRODUTO]],tbLancamentos[SAÍDA])</f>
        <v>5</v>
      </c>
      <c r="F19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20" spans="1:6" x14ac:dyDescent="0.25">
      <c r="A20" t="s">
        <v>22</v>
      </c>
      <c r="B20" t="s">
        <v>29</v>
      </c>
      <c r="C20" s="13">
        <v>5</v>
      </c>
      <c r="D20" s="13">
        <v>250</v>
      </c>
      <c r="E20" s="14">
        <f>SUMIF(tbLancamentos[PRODUTO],tbCadastro[[#This Row],[PRODUTO]],tbLancamentos[ENTRADA])-SUMIF(tbLancamentos[PRODUTO],tbCadastro[[#This Row],[PRODUTO]],tbLancamentos[SAÍDA])</f>
        <v>3</v>
      </c>
      <c r="F20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21" spans="1:6" x14ac:dyDescent="0.25">
      <c r="A21" t="s">
        <v>23</v>
      </c>
      <c r="B21" t="s">
        <v>28</v>
      </c>
      <c r="C21" s="13">
        <v>10</v>
      </c>
      <c r="D21" s="13">
        <v>80</v>
      </c>
      <c r="E21" s="14">
        <f>SUMIF(tbLancamentos[PRODUTO],tbCadastro[[#This Row],[PRODUTO]],tbLancamentos[ENTRADA])-SUMIF(tbLancamentos[PRODUTO],tbCadastro[[#This Row],[PRODUTO]],tbLancamentos[SAÍDA])</f>
        <v>0</v>
      </c>
      <c r="F21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22" spans="1:6" x14ac:dyDescent="0.25">
      <c r="A22" t="s">
        <v>24</v>
      </c>
      <c r="B22" t="s">
        <v>27</v>
      </c>
      <c r="C22" s="13">
        <v>10</v>
      </c>
      <c r="D22" s="13">
        <v>120</v>
      </c>
      <c r="E22" s="14">
        <f>SUMIF(tbLancamentos[PRODUTO],tbCadastro[[#This Row],[PRODUTO]],tbLancamentos[ENTRADA])-SUMIF(tbLancamentos[PRODUTO],tbCadastro[[#This Row],[PRODUTO]],tbLancamentos[SAÍDA])</f>
        <v>9</v>
      </c>
      <c r="F22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23" spans="1:6" x14ac:dyDescent="0.25">
      <c r="A23" t="s">
        <v>25</v>
      </c>
      <c r="B23" t="s">
        <v>26</v>
      </c>
      <c r="C23" s="13">
        <v>10</v>
      </c>
      <c r="D23" s="13">
        <v>110</v>
      </c>
      <c r="E23" s="14">
        <f>SUMIF(tbLancamentos[PRODUTO],tbCadastro[[#This Row],[PRODUTO]],tbLancamentos[ENTRADA])-SUMIF(tbLancamentos[PRODUTO],tbCadastro[[#This Row],[PRODUTO]],tbLancamentos[SAÍDA])</f>
        <v>0</v>
      </c>
      <c r="F23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</sheetData>
  <sheetProtection sheet="1" objects="1" scenarios="1" selectLockedCells="1"/>
  <conditionalFormatting sqref="F4:F23">
    <cfRule type="cellIs" dxfId="7" priority="2" operator="equal">
      <formula>"Solicitar nova compra!"</formula>
    </cfRule>
    <cfRule type="cellIs" dxfId="6" priority="1" operator="equal">
      <formula>"Priorizar venda!"</formula>
    </cfRule>
  </conditionalFormatting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zoomScaleNormal="100" workbookViewId="0">
      <selection activeCell="E31" sqref="E30:E31"/>
    </sheetView>
  </sheetViews>
  <sheetFormatPr defaultColWidth="0" defaultRowHeight="15" x14ac:dyDescent="0.25"/>
  <cols>
    <col min="1" max="1" width="40.7109375" customWidth="1"/>
    <col min="2" max="2" width="15.7109375" style="5" customWidth="1"/>
    <col min="3" max="5" width="15.7109375" style="13" customWidth="1"/>
    <col min="6" max="6" width="22.7109375" customWidth="1"/>
    <col min="7" max="7" width="57.7109375" customWidth="1"/>
    <col min="8" max="16384" width="9.140625" hidden="1"/>
  </cols>
  <sheetData>
    <row r="1" spans="1:5" s="1" customFormat="1" ht="39.950000000000003" customHeight="1" x14ac:dyDescent="0.25">
      <c r="B1" s="7"/>
      <c r="C1" s="9"/>
      <c r="D1" s="9"/>
      <c r="E1" s="9"/>
    </row>
    <row r="3" spans="1:5" x14ac:dyDescent="0.25">
      <c r="A3" s="6" t="s">
        <v>0</v>
      </c>
      <c r="B3" s="8" t="s">
        <v>30</v>
      </c>
      <c r="C3" s="10" t="s">
        <v>31</v>
      </c>
      <c r="D3" s="11" t="s">
        <v>32</v>
      </c>
      <c r="E3" s="12" t="s">
        <v>4</v>
      </c>
    </row>
    <row r="4" spans="1:5" x14ac:dyDescent="0.25">
      <c r="A4" t="s">
        <v>33</v>
      </c>
      <c r="B4" s="5">
        <v>45932</v>
      </c>
      <c r="C4" s="13">
        <v>15</v>
      </c>
      <c r="D4" s="13">
        <v>3</v>
      </c>
      <c r="E4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12</v>
      </c>
    </row>
    <row r="5" spans="1:5" x14ac:dyDescent="0.25">
      <c r="A5" t="s">
        <v>6</v>
      </c>
      <c r="B5" s="5">
        <v>45933</v>
      </c>
      <c r="C5" s="13">
        <v>30</v>
      </c>
      <c r="D5" s="13">
        <v>5</v>
      </c>
      <c r="E5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25</v>
      </c>
    </row>
    <row r="6" spans="1:5" x14ac:dyDescent="0.25">
      <c r="A6" t="s">
        <v>7</v>
      </c>
      <c r="B6" s="5">
        <v>45934</v>
      </c>
      <c r="C6" s="13">
        <v>10</v>
      </c>
      <c r="D6" s="13">
        <v>2</v>
      </c>
      <c r="E6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8</v>
      </c>
    </row>
    <row r="7" spans="1:5" x14ac:dyDescent="0.25">
      <c r="A7" t="s">
        <v>8</v>
      </c>
      <c r="B7" s="5">
        <v>45936</v>
      </c>
      <c r="C7" s="13">
        <v>5</v>
      </c>
      <c r="D7" s="13">
        <v>1</v>
      </c>
      <c r="E7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4</v>
      </c>
    </row>
    <row r="8" spans="1:5" x14ac:dyDescent="0.25">
      <c r="A8" t="s">
        <v>9</v>
      </c>
      <c r="B8" s="5">
        <v>45937</v>
      </c>
      <c r="C8" s="13">
        <v>10</v>
      </c>
      <c r="D8" s="13">
        <v>2</v>
      </c>
      <c r="E8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8</v>
      </c>
    </row>
    <row r="9" spans="1:5" x14ac:dyDescent="0.25">
      <c r="A9" t="s">
        <v>10</v>
      </c>
      <c r="B9" s="5">
        <v>45938</v>
      </c>
      <c r="C9" s="13">
        <v>10</v>
      </c>
      <c r="D9" s="13">
        <v>1</v>
      </c>
      <c r="E9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9</v>
      </c>
    </row>
    <row r="10" spans="1:5" x14ac:dyDescent="0.25">
      <c r="A10" t="s">
        <v>11</v>
      </c>
      <c r="B10" s="5">
        <v>45939</v>
      </c>
      <c r="C10" s="13">
        <v>20</v>
      </c>
      <c r="D10" s="13">
        <v>4</v>
      </c>
      <c r="E10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16</v>
      </c>
    </row>
    <row r="11" spans="1:5" x14ac:dyDescent="0.25">
      <c r="A11" t="s">
        <v>12</v>
      </c>
      <c r="B11" s="5">
        <v>45940</v>
      </c>
      <c r="C11" s="13">
        <v>5</v>
      </c>
      <c r="D11" s="13">
        <v>1</v>
      </c>
      <c r="E11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4</v>
      </c>
    </row>
    <row r="12" spans="1:5" x14ac:dyDescent="0.25">
      <c r="A12" t="s">
        <v>13</v>
      </c>
      <c r="B12" s="5">
        <v>45941</v>
      </c>
      <c r="C12" s="13">
        <v>10</v>
      </c>
      <c r="D12" s="13">
        <v>3</v>
      </c>
      <c r="E12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7</v>
      </c>
    </row>
    <row r="13" spans="1:5" x14ac:dyDescent="0.25">
      <c r="A13" t="s">
        <v>14</v>
      </c>
      <c r="B13" s="5">
        <v>45943</v>
      </c>
      <c r="C13" s="13">
        <v>8</v>
      </c>
      <c r="D13" s="13">
        <v>2</v>
      </c>
      <c r="E13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6</v>
      </c>
    </row>
    <row r="14" spans="1:5" x14ac:dyDescent="0.25">
      <c r="A14" t="s">
        <v>15</v>
      </c>
      <c r="B14" s="5">
        <v>45944</v>
      </c>
      <c r="C14" s="13">
        <v>15</v>
      </c>
      <c r="D14" s="13">
        <v>3</v>
      </c>
      <c r="E14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12</v>
      </c>
    </row>
    <row r="15" spans="1:5" x14ac:dyDescent="0.25">
      <c r="A15" t="s">
        <v>16</v>
      </c>
      <c r="B15" s="5">
        <v>45945</v>
      </c>
      <c r="C15" s="13">
        <v>15</v>
      </c>
      <c r="D15" s="13">
        <v>4</v>
      </c>
      <c r="E15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11</v>
      </c>
    </row>
    <row r="16" spans="1:5" x14ac:dyDescent="0.25">
      <c r="A16" t="s">
        <v>17</v>
      </c>
      <c r="B16" s="5">
        <v>45946</v>
      </c>
      <c r="C16" s="13">
        <v>15</v>
      </c>
      <c r="D16" s="13">
        <v>5</v>
      </c>
      <c r="E16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10</v>
      </c>
    </row>
    <row r="17" spans="1:5" x14ac:dyDescent="0.25">
      <c r="A17" t="s">
        <v>18</v>
      </c>
      <c r="B17" s="5">
        <v>45948</v>
      </c>
      <c r="C17" s="13">
        <v>20</v>
      </c>
      <c r="D17" s="13">
        <v>2</v>
      </c>
      <c r="E17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18</v>
      </c>
    </row>
    <row r="18" spans="1:5" x14ac:dyDescent="0.25">
      <c r="A18" t="s">
        <v>19</v>
      </c>
      <c r="B18" s="5">
        <v>45950</v>
      </c>
      <c r="C18" s="13">
        <v>50</v>
      </c>
      <c r="D18" s="13">
        <v>3</v>
      </c>
      <c r="E18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47</v>
      </c>
    </row>
    <row r="19" spans="1:5" x14ac:dyDescent="0.25">
      <c r="A19" t="s">
        <v>20</v>
      </c>
      <c r="B19" s="5">
        <v>45952</v>
      </c>
      <c r="C19" s="13">
        <v>10</v>
      </c>
      <c r="D19" s="13">
        <v>4</v>
      </c>
      <c r="E19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6</v>
      </c>
    </row>
    <row r="20" spans="1:5" x14ac:dyDescent="0.25">
      <c r="A20" t="s">
        <v>21</v>
      </c>
      <c r="B20" s="5">
        <v>45954</v>
      </c>
      <c r="C20" s="13">
        <v>10</v>
      </c>
      <c r="D20" s="13">
        <v>5</v>
      </c>
      <c r="E20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5</v>
      </c>
    </row>
    <row r="21" spans="1:5" x14ac:dyDescent="0.25">
      <c r="A21" t="s">
        <v>22</v>
      </c>
      <c r="B21" s="5">
        <v>45956</v>
      </c>
      <c r="C21" s="13">
        <v>5</v>
      </c>
      <c r="D21" s="13">
        <v>2</v>
      </c>
      <c r="E21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3</v>
      </c>
    </row>
    <row r="22" spans="1:5" x14ac:dyDescent="0.25">
      <c r="A22" t="s">
        <v>34</v>
      </c>
      <c r="B22" s="5">
        <v>45957</v>
      </c>
      <c r="C22" s="13">
        <v>10</v>
      </c>
      <c r="D22" s="13">
        <v>1</v>
      </c>
      <c r="E22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9</v>
      </c>
    </row>
    <row r="23" spans="1:5" x14ac:dyDescent="0.25">
      <c r="A23" t="s">
        <v>24</v>
      </c>
      <c r="B23" s="5">
        <v>45958</v>
      </c>
      <c r="C23" s="13">
        <v>10</v>
      </c>
      <c r="D23" s="13">
        <v>1</v>
      </c>
      <c r="E23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9</v>
      </c>
    </row>
    <row r="24" spans="1:5" x14ac:dyDescent="0.25">
      <c r="A24" t="s">
        <v>35</v>
      </c>
      <c r="B24">
        <f>SUBTOTAL(103,tbLancamentos[DATA])</f>
        <v>20</v>
      </c>
      <c r="C24" s="13">
        <f>SUBTOTAL(109,tbLancamentos[ENTRADA])</f>
        <v>283</v>
      </c>
      <c r="D24" s="13">
        <f>SUBTOTAL(109,tbLancamentos[SAÍDA])</f>
        <v>54</v>
      </c>
      <c r="E24" s="3">
        <f>SUBTOTAL(103,tbLancamentos[SALDO])</f>
        <v>20</v>
      </c>
    </row>
  </sheetData>
  <sheetProtection sheet="1" objects="1" scenarios="1" selectLockedCells="1"/>
  <conditionalFormatting sqref="E4:E23">
    <cfRule type="cellIs" dxfId="5" priority="1" operator="lessThan">
      <formula>0</formula>
    </cfRule>
  </conditionalFormatting>
  <dataValidations count="1">
    <dataValidation type="list" allowBlank="1" showInputMessage="1" showErrorMessage="1" sqref="A4:A23">
      <formula1>ColunaProdutos</formula1>
    </dataValidation>
  </dataValidation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Início</vt:lpstr>
      <vt:lpstr>Cadastro</vt:lpstr>
      <vt:lpstr>Lançamentos</vt:lpstr>
      <vt:lpstr>ColunaProdutos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2025-10-29T18:42:05Z</dcterms:modified>
</cp:coreProperties>
</file>